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Blank Brief" sheetId="2" state="visible" r:id="rId4"/>
    <sheet name="German Election - example" sheetId="3" state="visible" r:id="rId5"/>
    <sheet name="Script &amp; Story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<sst xmlns="http://schemas.openxmlformats.org/spreadsheetml/2006/main" count="211" uniqueCount="136">
  <si>
    <t xml:space="preserve">Motion Video Brief - reusable template</t>
  </si>
  <si>
    <t xml:space="preserve">How to use this workbook</t>
  </si>
  <si>
    <t xml:space="preserve">1. Copy the sheet 'Blank Brief' (right-click the tab &gt; Move or Copy).</t>
  </si>
  <si>
    <t xml:space="preserve">2. Fill in the yellow cells in column C. Blue text = your input.</t>
  </si>
  <si>
    <t xml:space="preserve">3. Use column D for hints. Unsure? Write 'Claude decides'.</t>
  </si>
  <si>
    <t xml:space="preserve">4. Fill in the 'Script &amp; Storyboard' sheet or ask Claude to propose one.</t>
  </si>
  <si>
    <t xml:space="preserve">5. Send the file (or paste its contents) to Claude and say: 'Build this video'.</t>
  </si>
  <si>
    <t xml:space="preserve">Sheets</t>
  </si>
  <si>
    <t xml:space="preserve">Blank Brief - empty questionnaire to reuse</t>
  </si>
  <si>
    <t xml:space="preserve">German Election - example - this video's answers (example of expected format)</t>
  </si>
  <si>
    <t xml:space="preserve">Script &amp; Storyboard - proposed scene plan with automatic timing checks</t>
  </si>
  <si>
    <t xml:space="preserve">Section</t>
  </si>
  <si>
    <t xml:space="preserve">Question</t>
  </si>
  <si>
    <t xml:space="preserve">Your answer</t>
  </si>
  <si>
    <t xml:space="preserve">Hints / options</t>
  </si>
  <si>
    <t xml:space="preserve">A. Topic &amp; content</t>
  </si>
  <si>
    <t xml:space="preserve">Working title / on-screen title</t>
  </si>
  <si>
    <t xml:space="preserve">Short, max ~4 words</t>
  </si>
  <si>
    <t xml:space="preserve">Main message</t>
  </si>
  <si>
    <t xml:space="preserve">One sentence</t>
  </si>
  <si>
    <t xml:space="preserve">Parts to include</t>
  </si>
  <si>
    <t xml:space="preserve">List the sub-topics</t>
  </si>
  <si>
    <t xml:space="preserve">Parts to leave out</t>
  </si>
  <si>
    <t xml:space="preserve">Keeps the video focused</t>
  </si>
  <si>
    <t xml:space="preserve">One thing the viewer should remember</t>
  </si>
  <si>
    <t xml:space="preserve">The takeaway</t>
  </si>
  <si>
    <t xml:space="preserve">Audience</t>
  </si>
  <si>
    <t xml:space="preserve">Who watches?</t>
  </si>
  <si>
    <t xml:space="preserve">Audience knowledge level</t>
  </si>
  <si>
    <t xml:space="preserve">Beginner / medium / advanced</t>
  </si>
  <si>
    <t xml:space="preserve">Facts policy</t>
  </si>
  <si>
    <t xml:space="preserve">Current facts or timeless?</t>
  </si>
  <si>
    <t xml:space="preserve">Sources shown in video?</t>
  </si>
  <si>
    <t xml:space="preserve">Yes / No (sources can be given in chat instead)</t>
  </si>
  <si>
    <t xml:space="preserve">B. Language &amp; voice</t>
  </si>
  <si>
    <t xml:space="preserve">Video language</t>
  </si>
  <si>
    <t xml:space="preserve">English / German / other</t>
  </si>
  <si>
    <t xml:space="preserve">Voice-over</t>
  </si>
  <si>
    <t xml:space="preserve">Yes / No / text only</t>
  </si>
  <si>
    <t xml:space="preserve">Voice gender and style</t>
  </si>
  <si>
    <t xml:space="preserve">e.g. male, calm, documentary</t>
  </si>
  <si>
    <t xml:space="preserve">Subtitles on screen</t>
  </si>
  <si>
    <t xml:space="preserve">Yes / No</t>
  </si>
  <si>
    <t xml:space="preserve">C. Look &amp; feel</t>
  </si>
  <si>
    <t xml:space="preserve">Visual style</t>
  </si>
  <si>
    <t xml:space="preserve">Minimal clean / flat Kurzgesagt / bold colourful</t>
  </si>
  <si>
    <t xml:space="preserve">Colours</t>
  </si>
  <si>
    <t xml:space="preserve">Hex codes or theme</t>
  </si>
  <si>
    <t xml:space="preserve">Graphic elements</t>
  </si>
  <si>
    <t xml:space="preserve">Icons / characters / shapes / diagrams</t>
  </si>
  <si>
    <t xml:space="preserve">Logo / channel name</t>
  </si>
  <si>
    <t xml:space="preserve">Path to file or text</t>
  </si>
  <si>
    <t xml:space="preserve">Reference video / inspiration</t>
  </si>
  <si>
    <t xml:space="preserve">Link</t>
  </si>
  <si>
    <t xml:space="preserve">Reference footage or images supplied?</t>
  </si>
  <si>
    <t xml:space="preserve">D. Format</t>
  </si>
  <si>
    <t xml:space="preserve">Platform</t>
  </si>
  <si>
    <t xml:space="preserve">YouTube / TikTok / Reels / Instagram / classroom</t>
  </si>
  <si>
    <t xml:space="preserve">Aspect ratio and resolution</t>
  </si>
  <si>
    <t xml:space="preserve">16:9 1920x1080 / 9:16 1080x1920 / 1:1 1080x1080</t>
  </si>
  <si>
    <t xml:space="preserve">Frame rate</t>
  </si>
  <si>
    <t xml:space="preserve">30 or 60 fps</t>
  </si>
  <si>
    <t xml:space="preserve">Duration (seconds)</t>
  </si>
  <si>
    <t xml:space="preserve">Exact or maximum</t>
  </si>
  <si>
    <t xml:space="preserve">Intro title card</t>
  </si>
  <si>
    <t xml:space="preserve">End card / call to action</t>
  </si>
  <si>
    <t xml:space="preserve">Yes / No and text</t>
  </si>
  <si>
    <t xml:space="preserve">E. Audio</t>
  </si>
  <si>
    <t xml:space="preserve">Background music</t>
  </si>
  <si>
    <t xml:space="preserve">Mood, volume, own file?</t>
  </si>
  <si>
    <t xml:space="preserve">Sound effects</t>
  </si>
  <si>
    <t xml:space="preserve">None / light / strong</t>
  </si>
  <si>
    <t xml:space="preserve">F. Delivery</t>
  </si>
  <si>
    <t xml:space="preserve">Deliverables</t>
  </si>
  <si>
    <t xml:space="preserve">MP4 / thumbnail / script text</t>
  </si>
  <si>
    <t xml:space="preserve">Commit and push to GitHub?</t>
  </si>
  <si>
    <t xml:space="preserve">Yes / No and branch</t>
  </si>
  <si>
    <t xml:space="preserve">G. Extras</t>
  </si>
  <si>
    <t xml:space="preserve">Special requests / things to avoid</t>
  </si>
  <si>
    <t xml:space="preserve">Free text</t>
  </si>
  <si>
    <t xml:space="preserve">German election system</t>
  </si>
  <si>
    <t xml:space="preserve">How voting in Germany's parliament works, in general</t>
  </si>
  <si>
    <t xml:space="preserve">How Bundestag members are elected (two votes); how the Chancellor and the President are elected</t>
  </si>
  <si>
    <t xml:space="preserve">Details beyond the basics</t>
  </si>
  <si>
    <t xml:space="preserve">Roughly how the German election system works</t>
  </si>
  <si>
    <t xml:space="preserve">Students and interested beginners</t>
  </si>
  <si>
    <t xml:space="preserve">Beginner</t>
  </si>
  <si>
    <t xml:space="preserve">Use current facts (e.g. seat numbers, names)</t>
  </si>
  <si>
    <t xml:space="preserve">No - list sources in chat only</t>
  </si>
  <si>
    <t xml:space="preserve">English</t>
  </si>
  <si>
    <t xml:space="preserve">Yes</t>
  </si>
  <si>
    <t xml:space="preserve">Male, calm, precise, informative (documentary style)</t>
  </si>
  <si>
    <t xml:space="preserve">Minimal and clean, serious and professional</t>
  </si>
  <si>
    <t xml:space="preserve">German flag colours: black #000000, red #DD0000, gold #FFCE00</t>
  </si>
  <si>
    <t xml:space="preserve">Icons, characters, shapes and diagrams</t>
  </si>
  <si>
    <t xml:space="preserve">None for now (may be added later)</t>
  </si>
  <si>
    <t xml:space="preserve">None - Claude decides</t>
  </si>
  <si>
    <t xml:space="preserve">No - fully animated</t>
  </si>
  <si>
    <t xml:space="preserve">TikTok-style</t>
  </si>
  <si>
    <t xml:space="preserve">9:16, 1080x1920</t>
  </si>
  <si>
    <t xml:space="preserve">30</t>
  </si>
  <si>
    <t xml:space="preserve">Title: German election system</t>
  </si>
  <si>
    <t xml:space="preserve">None</t>
  </si>
  <si>
    <t xml:space="preserve">Light, quiet, must not distract</t>
  </si>
  <si>
    <t xml:space="preserve">Light, subtle</t>
  </si>
  <si>
    <t xml:space="preserve">MP4 only</t>
  </si>
  <si>
    <t xml:space="preserve">Yes - branch claude/cool-goldberg-6cf0b5</t>
  </si>
  <si>
    <t xml:space="preserve">Make creative decisions independently</t>
  </si>
  <si>
    <t xml:space="preserve">Words per second for a calm documentary voice (assumption, adjustable):</t>
  </si>
  <si>
    <t xml:space="preserve">Source: typical documentary narration is about 2.0-2.5 words/s (estimate by Claude)</t>
  </si>
  <si>
    <t xml:space="preserve">Scene</t>
  </si>
  <si>
    <t xml:space="preserve">Start (s)</t>
  </si>
  <si>
    <t xml:space="preserve">Duration (s)</t>
  </si>
  <si>
    <t xml:space="preserve">End (s)</t>
  </si>
  <si>
    <t xml:space="preserve">Visual idea</t>
  </si>
  <si>
    <t xml:space="preserve">Voice-over / subtitle text</t>
  </si>
  <si>
    <t xml:space="preserve">Words</t>
  </si>
  <si>
    <t xml:space="preserve">Words per second</t>
  </si>
  <si>
    <t xml:space="preserve">Pace check</t>
  </si>
  <si>
    <t xml:space="preserve">1 Title</t>
  </si>
  <si>
    <t xml:space="preserve">Black background, German-flag stripes slide in; title 'German election system'</t>
  </si>
  <si>
    <t xml:space="preserve">How does Germany choose its leaders?</t>
  </si>
  <si>
    <t xml:space="preserve">2 Two votes</t>
  </si>
  <si>
    <t xml:space="preserve">Ballot icon splits into two: person icon (1st vote) and party icon (2nd vote)</t>
  </si>
  <si>
    <t xml:space="preserve">Voters cast two votes. The first picks a local candidate. The second decides each party's strength.</t>
  </si>
  <si>
    <t xml:space="preserve">3 Bundestag</t>
  </si>
  <si>
    <t xml:space="preserve">5% bar chart threshold, then a parliament arc fills with 630 dots</t>
  </si>
  <si>
    <t xml:space="preserve">Parties need five percent to enter. Together, 630 members make up the Bundestag.</t>
  </si>
  <si>
    <t xml:space="preserve">4 Chancellor</t>
  </si>
  <si>
    <t xml:space="preserve">Parliament arc points to a Chancellor icon; counter reaches 316 votes</t>
  </si>
  <si>
    <t xml:space="preserve">The Bundestag elects the Chancellor, with at least 316 votes. Today, that is Friedrich Merz.</t>
  </si>
  <si>
    <t xml:space="preserve">5 President</t>
  </si>
  <si>
    <t xml:space="preserve">Separate Federal Convention circle points to a President icon</t>
  </si>
  <si>
    <t xml:space="preserve">The President is chosen separately, by a Federal Convention. Today: Frank-Walter Steinmeier.</t>
  </si>
  <si>
    <t xml:space="preserve">Total</t>
  </si>
  <si>
    <t xml:space="preserve">Notes: yellow cells are editable. Facts (630 seats, 316 majority, Merz, Steinmeier) are checked on 2026-10-13; Steinmeier's term ends in 2027 - re-check before publishing.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</si>
</sst>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</row>
    <row r="2" customFormat="false" ht="15" hidden="false" customHeight="false" outlineLevel="0" collapsed="false">
      <c r="A2" s="5" t="s">
        <v>15</v>
      </c>
      <c r="B2" s="6" t="s">
        <v>16</v>
      </c>
      <c r="C2" s="7"/>
      <c r="D2" s="6" t="s">
        <v>17</v>
      </c>
    </row>
    <row r="3" customFormat="false" ht="15" hidden="false" customHeight="false" outlineLevel="0" collapsed="false">
      <c r="A3" s="5"/>
      <c r="B3" s="6" t="s">
        <v>18</v>
      </c>
      <c r="C3" s="7"/>
      <c r="D3" s="6" t="s">
        <v>19</v>
      </c>
    </row>
    <row r="4" customFormat="false" ht="15" hidden="false" customHeight="false" outlineLevel="0" collapsed="false">
      <c r="A4" s="5"/>
      <c r="B4" s="6" t="s">
        <v>20</v>
      </c>
      <c r="C4" s="7"/>
      <c r="D4" s="6" t="s">
        <v>21</v>
      </c>
    </row>
    <row r="5" customFormat="false" ht="15" hidden="false" customHeight="false" outlineLevel="0" collapsed="false">
      <c r="A5" s="5"/>
      <c r="B5" s="6" t="s">
        <v>22</v>
      </c>
      <c r="C5" s="7"/>
      <c r="D5" s="6" t="s">
        <v>23</v>
      </c>
    </row>
    <row r="6" customFormat="false" ht="15" hidden="false" customHeight="false" outlineLevel="0" collapsed="false">
      <c r="A6" s="5"/>
      <c r="B6" s="6" t="s">
        <v>24</v>
      </c>
      <c r="C6" s="7"/>
      <c r="D6" s="6" t="s">
        <v>25</v>
      </c>
    </row>
    <row r="7" customFormat="false" ht="15" hidden="false" customHeight="false" outlineLevel="0" collapsed="false">
      <c r="A7" s="5"/>
      <c r="B7" s="6" t="s">
        <v>26</v>
      </c>
      <c r="C7" s="7"/>
      <c r="D7" s="6" t="s">
        <v>27</v>
      </c>
    </row>
    <row r="8" customFormat="false" ht="15" hidden="false" customHeight="false" outlineLevel="0" collapsed="false">
      <c r="A8" s="5"/>
      <c r="B8" s="6" t="s">
        <v>28</v>
      </c>
      <c r="C8" s="7"/>
      <c r="D8" s="6" t="s">
        <v>29</v>
      </c>
    </row>
    <row r="9" customFormat="false" ht="15" hidden="false" customHeight="false" outlineLevel="0" collapsed="false">
      <c r="A9" s="5"/>
      <c r="B9" s="6" t="s">
        <v>30</v>
      </c>
      <c r="C9" s="7"/>
      <c r="D9" s="6" t="s">
        <v>31</v>
      </c>
    </row>
    <row r="10" customFormat="false" ht="15" hidden="false" customHeight="false" outlineLevel="0" collapsed="false">
      <c r="A10" s="5"/>
      <c r="B10" s="6" t="s">
        <v>32</v>
      </c>
      <c r="C10" s="7"/>
      <c r="D10" s="6" t="s">
        <v>33</v>
      </c>
    </row>
    <row r="11" customFormat="false" ht="15" hidden="false" customHeight="false" outlineLevel="0" collapsed="false">
      <c r="A11" s="5" t="s">
        <v>34</v>
      </c>
      <c r="B11" s="6" t="s">
        <v>35</v>
      </c>
      <c r="C11" s="7"/>
      <c r="D11" s="6" t="s">
        <v>36</v>
      </c>
    </row>
    <row r="12" customFormat="false" ht="15" hidden="false" customHeight="false" outlineLevel="0" collapsed="false">
      <c r="A12" s="5"/>
      <c r="B12" s="6" t="s">
        <v>37</v>
      </c>
      <c r="C12" s="7"/>
      <c r="D12" s="6" t="s">
        <v>38</v>
      </c>
    </row>
    <row r="13" customFormat="false" ht="15" hidden="false" customHeight="false" outlineLevel="0" collapsed="false">
      <c r="A13" s="5"/>
      <c r="B13" s="6" t="s">
        <v>39</v>
      </c>
      <c r="C13" s="7"/>
      <c r="D13" s="6" t="s">
        <v>40</v>
      </c>
    </row>
    <row r="14" customFormat="false" ht="15" hidden="false" customHeight="false" outlineLevel="0" collapsed="false">
      <c r="A14" s="5"/>
      <c r="B14" s="6" t="s">
        <v>41</v>
      </c>
      <c r="C14" s="7"/>
      <c r="D14" s="6" t="s">
        <v>42</v>
      </c>
    </row>
    <row r="15" customFormat="false" ht="15" hidden="false" customHeight="false" outlineLevel="0" collapsed="false">
      <c r="A15" s="5" t="s">
        <v>43</v>
      </c>
      <c r="B15" s="6" t="s">
        <v>44</v>
      </c>
      <c r="C15" s="7"/>
      <c r="D15" s="6" t="s">
        <v>45</v>
      </c>
    </row>
    <row r="16" customFormat="false" ht="15" hidden="false" customHeight="false" outlineLevel="0" collapsed="false">
      <c r="A16" s="5"/>
      <c r="B16" s="6" t="s">
        <v>46</v>
      </c>
      <c r="C16" s="7"/>
      <c r="D16" s="6" t="s">
        <v>47</v>
      </c>
    </row>
    <row r="17" customFormat="false" ht="15" hidden="false" customHeight="false" outlineLevel="0" collapsed="false">
      <c r="A17" s="5"/>
      <c r="B17" s="6" t="s">
        <v>48</v>
      </c>
      <c r="C17" s="7"/>
      <c r="D17" s="6" t="s">
        <v>49</v>
      </c>
    </row>
    <row r="18" customFormat="false" ht="15" hidden="false" customHeight="false" outlineLevel="0" collapsed="false">
      <c r="A18" s="5"/>
      <c r="B18" s="6" t="s">
        <v>50</v>
      </c>
      <c r="C18" s="7"/>
      <c r="D18" s="6" t="s">
        <v>51</v>
      </c>
    </row>
    <row r="19" customFormat="false" ht="15" hidden="false" customHeight="false" outlineLevel="0" collapsed="false">
      <c r="A19" s="5"/>
      <c r="B19" s="6" t="s">
        <v>52</v>
      </c>
      <c r="C19" s="7"/>
      <c r="D19" s="6" t="s">
        <v>53</v>
      </c>
    </row>
    <row r="20" customFormat="false" ht="15" hidden="false" customHeight="false" outlineLevel="0" collapsed="false">
      <c r="A20" s="5"/>
      <c r="B20" s="6" t="s">
        <v>54</v>
      </c>
      <c r="C20" s="7"/>
      <c r="D20" s="6" t="s">
        <v>42</v>
      </c>
    </row>
    <row r="21" customFormat="false" ht="15" hidden="false" customHeight="false" outlineLevel="0" collapsed="false">
      <c r="A21" s="5" t="s">
        <v>55</v>
      </c>
      <c r="B21" s="6" t="s">
        <v>56</v>
      </c>
      <c r="C21" s="7"/>
      <c r="D21" s="6" t="s">
        <v>57</v>
      </c>
    </row>
    <row r="22" customFormat="false" ht="15" hidden="false" customHeight="false" outlineLevel="0" collapsed="false">
      <c r="A22" s="5"/>
      <c r="B22" s="6" t="s">
        <v>58</v>
      </c>
      <c r="C22" s="7"/>
      <c r="D22" s="6" t="s">
        <v>59</v>
      </c>
    </row>
    <row r="23" customFormat="false" ht="15" hidden="false" customHeight="false" outlineLevel="0" collapsed="false">
      <c r="A23" s="5"/>
      <c r="B23" s="6" t="s">
        <v>60</v>
      </c>
      <c r="C23" s="7"/>
      <c r="D23" s="6" t="s">
        <v>61</v>
      </c>
    </row>
    <row r="24" customFormat="false" ht="15" hidden="false" customHeight="false" outlineLevel="0" collapsed="false">
      <c r="A24" s="5"/>
      <c r="B24" s="6" t="s">
        <v>62</v>
      </c>
      <c r="C24" s="7"/>
      <c r="D24" s="6" t="s">
        <v>63</v>
      </c>
    </row>
    <row r="25" customFormat="false" ht="15" hidden="false" customHeight="false" outlineLevel="0" collapsed="false">
      <c r="A25" s="5"/>
      <c r="B25" s="6" t="s">
        <v>64</v>
      </c>
      <c r="C25" s="7"/>
      <c r="D25" s="6" t="s">
        <v>42</v>
      </c>
    </row>
    <row r="26" customFormat="false" ht="15" hidden="false" customHeight="false" outlineLevel="0" collapsed="false">
      <c r="A26" s="5"/>
      <c r="B26" s="6" t="s">
        <v>65</v>
      </c>
      <c r="C26" s="7"/>
      <c r="D26" s="6" t="s">
        <v>66</v>
      </c>
    </row>
    <row r="27" customFormat="false" ht="15" hidden="false" customHeight="false" outlineLevel="0" collapsed="false">
      <c r="A27" s="5" t="s">
        <v>67</v>
      </c>
      <c r="B27" s="6" t="s">
        <v>68</v>
      </c>
      <c r="C27" s="7"/>
      <c r="D27" s="6" t="s">
        <v>69</v>
      </c>
    </row>
    <row r="28" customFormat="false" ht="15" hidden="false" customHeight="false" outlineLevel="0" collapsed="false">
      <c r="A28" s="5"/>
      <c r="B28" s="6" t="s">
        <v>70</v>
      </c>
      <c r="C28" s="7"/>
      <c r="D28" s="6" t="s">
        <v>71</v>
      </c>
    </row>
    <row r="29" customFormat="false" ht="15" hidden="false" customHeight="false" outlineLevel="0" collapsed="false">
      <c r="A29" s="5" t="s">
        <v>72</v>
      </c>
      <c r="B29" s="6" t="s">
        <v>73</v>
      </c>
      <c r="C29" s="7"/>
      <c r="D29" s="6" t="s">
        <v>74</v>
      </c>
    </row>
    <row r="30" customFormat="false" ht="15" hidden="false" customHeight="false" outlineLevel="0" collapsed="false">
      <c r="A30" s="5"/>
      <c r="B30" s="6" t="s">
        <v>75</v>
      </c>
      <c r="C30" s="7"/>
      <c r="D30" s="6" t="s">
        <v>76</v>
      </c>
    </row>
    <row r="31" customFormat="false" ht="15" hidden="false" customHeight="false" outlineLevel="0" collapsed="false">
      <c r="A31" s="5" t="s">
        <v>77</v>
      </c>
      <c r="B31" s="6" t="s">
        <v>78</v>
      </c>
      <c r="C31" s="7"/>
      <c r="D31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</row>
    <row r="2" customFormat="false" ht="15" hidden="false" customHeight="false" outlineLevel="0" collapsed="false">
      <c r="A2" s="5" t="s">
        <v>15</v>
      </c>
      <c r="B2" s="6" t="s">
        <v>16</v>
      </c>
      <c r="C2" s="7" t="s">
        <v>80</v>
      </c>
      <c r="D2" s="6" t="s">
        <v>17</v>
      </c>
    </row>
    <row r="3" customFormat="false" ht="15" hidden="false" customHeight="false" outlineLevel="0" collapsed="false">
      <c r="A3" s="5"/>
      <c r="B3" s="6" t="s">
        <v>18</v>
      </c>
      <c r="C3" s="7" t="s">
        <v>81</v>
      </c>
      <c r="D3" s="6" t="s">
        <v>19</v>
      </c>
    </row>
    <row r="4" customFormat="false" ht="23.85" hidden="false" customHeight="false" outlineLevel="0" collapsed="false">
      <c r="A4" s="5"/>
      <c r="B4" s="6" t="s">
        <v>20</v>
      </c>
      <c r="C4" s="7" t="s">
        <v>82</v>
      </c>
      <c r="D4" s="6" t="s">
        <v>21</v>
      </c>
    </row>
    <row r="5" customFormat="false" ht="15" hidden="false" customHeight="false" outlineLevel="0" collapsed="false">
      <c r="A5" s="5"/>
      <c r="B5" s="6" t="s">
        <v>22</v>
      </c>
      <c r="C5" s="7" t="s">
        <v>83</v>
      </c>
      <c r="D5" s="6" t="s">
        <v>23</v>
      </c>
    </row>
    <row r="6" customFormat="false" ht="15" hidden="false" customHeight="false" outlineLevel="0" collapsed="false">
      <c r="A6" s="5"/>
      <c r="B6" s="6" t="s">
        <v>24</v>
      </c>
      <c r="C6" s="7" t="s">
        <v>84</v>
      </c>
      <c r="D6" s="6" t="s">
        <v>25</v>
      </c>
    </row>
    <row r="7" customFormat="false" ht="15" hidden="false" customHeight="false" outlineLevel="0" collapsed="false">
      <c r="A7" s="5"/>
      <c r="B7" s="6" t="s">
        <v>26</v>
      </c>
      <c r="C7" s="7" t="s">
        <v>85</v>
      </c>
      <c r="D7" s="6" t="s">
        <v>27</v>
      </c>
    </row>
    <row r="8" customFormat="false" ht="15" hidden="false" customHeight="false" outlineLevel="0" collapsed="false">
      <c r="A8" s="5"/>
      <c r="B8" s="6" t="s">
        <v>28</v>
      </c>
      <c r="C8" s="7" t="s">
        <v>86</v>
      </c>
      <c r="D8" s="6" t="s">
        <v>29</v>
      </c>
    </row>
    <row r="9" customFormat="false" ht="15" hidden="false" customHeight="false" outlineLevel="0" collapsed="false">
      <c r="A9" s="5"/>
      <c r="B9" s="6" t="s">
        <v>30</v>
      </c>
      <c r="C9" s="7" t="s">
        <v>87</v>
      </c>
      <c r="D9" s="6" t="s">
        <v>31</v>
      </c>
    </row>
    <row r="10" customFormat="false" ht="15" hidden="false" customHeight="false" outlineLevel="0" collapsed="false">
      <c r="A10" s="5"/>
      <c r="B10" s="6" t="s">
        <v>32</v>
      </c>
      <c r="C10" s="7" t="s">
        <v>88</v>
      </c>
      <c r="D10" s="6" t="s">
        <v>33</v>
      </c>
    </row>
    <row r="11" customFormat="false" ht="15" hidden="false" customHeight="false" outlineLevel="0" collapsed="false">
      <c r="A11" s="5" t="s">
        <v>34</v>
      </c>
      <c r="B11" s="6" t="s">
        <v>35</v>
      </c>
      <c r="C11" s="7" t="s">
        <v>89</v>
      </c>
      <c r="D11" s="6" t="s">
        <v>36</v>
      </c>
    </row>
    <row r="12" customFormat="false" ht="15" hidden="false" customHeight="false" outlineLevel="0" collapsed="false">
      <c r="A12" s="5"/>
      <c r="B12" s="6" t="s">
        <v>37</v>
      </c>
      <c r="C12" s="7" t="s">
        <v>90</v>
      </c>
      <c r="D12" s="6" t="s">
        <v>38</v>
      </c>
    </row>
    <row r="13" customFormat="false" ht="15" hidden="false" customHeight="false" outlineLevel="0" collapsed="false">
      <c r="A13" s="5"/>
      <c r="B13" s="6" t="s">
        <v>39</v>
      </c>
      <c r="C13" s="7" t="s">
        <v>91</v>
      </c>
      <c r="D13" s="6" t="s">
        <v>40</v>
      </c>
    </row>
    <row r="14" customFormat="false" ht="15" hidden="false" customHeight="false" outlineLevel="0" collapsed="false">
      <c r="A14" s="5"/>
      <c r="B14" s="6" t="s">
        <v>41</v>
      </c>
      <c r="C14" s="7" t="s">
        <v>90</v>
      </c>
      <c r="D14" s="6" t="s">
        <v>42</v>
      </c>
    </row>
    <row r="15" customFormat="false" ht="15" hidden="false" customHeight="false" outlineLevel="0" collapsed="false">
      <c r="A15" s="5" t="s">
        <v>43</v>
      </c>
      <c r="B15" s="6" t="s">
        <v>44</v>
      </c>
      <c r="C15" s="7" t="s">
        <v>92</v>
      </c>
      <c r="D15" s="6" t="s">
        <v>45</v>
      </c>
    </row>
    <row r="16" customFormat="false" ht="15" hidden="false" customHeight="false" outlineLevel="0" collapsed="false">
      <c r="A16" s="5"/>
      <c r="B16" s="6" t="s">
        <v>46</v>
      </c>
      <c r="C16" s="7" t="s">
        <v>93</v>
      </c>
      <c r="D16" s="6" t="s">
        <v>47</v>
      </c>
    </row>
    <row r="17" customFormat="false" ht="15" hidden="false" customHeight="false" outlineLevel="0" collapsed="false">
      <c r="A17" s="5"/>
      <c r="B17" s="6" t="s">
        <v>48</v>
      </c>
      <c r="C17" s="7" t="s">
        <v>94</v>
      </c>
      <c r="D17" s="6" t="s">
        <v>49</v>
      </c>
    </row>
    <row r="18" customFormat="false" ht="15" hidden="false" customHeight="false" outlineLevel="0" collapsed="false">
      <c r="A18" s="5"/>
      <c r="B18" s="6" t="s">
        <v>50</v>
      </c>
      <c r="C18" s="7" t="s">
        <v>95</v>
      </c>
      <c r="D18" s="6" t="s">
        <v>51</v>
      </c>
    </row>
    <row r="19" customFormat="false" ht="15" hidden="false" customHeight="false" outlineLevel="0" collapsed="false">
      <c r="A19" s="5"/>
      <c r="B19" s="6" t="s">
        <v>52</v>
      </c>
      <c r="C19" s="7" t="s">
        <v>96</v>
      </c>
      <c r="D19" s="6" t="s">
        <v>53</v>
      </c>
    </row>
    <row r="20" customFormat="false" ht="15" hidden="false" customHeight="false" outlineLevel="0" collapsed="false">
      <c r="A20" s="5"/>
      <c r="B20" s="6" t="s">
        <v>54</v>
      </c>
      <c r="C20" s="7" t="s">
        <v>97</v>
      </c>
      <c r="D20" s="6" t="s">
        <v>42</v>
      </c>
    </row>
    <row r="21" customFormat="false" ht="15" hidden="false" customHeight="false" outlineLevel="0" collapsed="false">
      <c r="A21" s="5" t="s">
        <v>55</v>
      </c>
      <c r="B21" s="6" t="s">
        <v>56</v>
      </c>
      <c r="C21" s="7" t="s">
        <v>98</v>
      </c>
      <c r="D21" s="6" t="s">
        <v>57</v>
      </c>
    </row>
    <row r="22" customFormat="false" ht="15" hidden="false" customHeight="false" outlineLevel="0" collapsed="false">
      <c r="A22" s="5"/>
      <c r="B22" s="6" t="s">
        <v>58</v>
      </c>
      <c r="C22" s="7" t="s">
        <v>99</v>
      </c>
      <c r="D22" s="6" t="s">
        <v>59</v>
      </c>
    </row>
    <row r="23" customFormat="false" ht="15" hidden="false" customHeight="false" outlineLevel="0" collapsed="false">
      <c r="A23" s="5"/>
      <c r="B23" s="6" t="s">
        <v>60</v>
      </c>
      <c r="C23" s="7" t="s">
        <v>100</v>
      </c>
      <c r="D23" s="6" t="s">
        <v>61</v>
      </c>
    </row>
    <row r="24" customFormat="false" ht="15" hidden="false" customHeight="false" outlineLevel="0" collapsed="false">
      <c r="A24" s="5"/>
      <c r="B24" s="6" t="s">
        <v>62</v>
      </c>
      <c r="C24" s="7" t="s">
        <v>100</v>
      </c>
      <c r="D24" s="6" t="s">
        <v>63</v>
      </c>
    </row>
    <row r="25" customFormat="false" ht="15" hidden="false" customHeight="false" outlineLevel="0" collapsed="false">
      <c r="A25" s="5"/>
      <c r="B25" s="6" t="s">
        <v>64</v>
      </c>
      <c r="C25" s="7" t="s">
        <v>101</v>
      </c>
      <c r="D25" s="6" t="s">
        <v>42</v>
      </c>
    </row>
    <row r="26" customFormat="false" ht="15" hidden="false" customHeight="false" outlineLevel="0" collapsed="false">
      <c r="A26" s="5"/>
      <c r="B26" s="6" t="s">
        <v>65</v>
      </c>
      <c r="C26" s="7" t="s">
        <v>102</v>
      </c>
      <c r="D26" s="6" t="s">
        <v>66</v>
      </c>
    </row>
    <row r="27" customFormat="false" ht="15" hidden="false" customHeight="false" outlineLevel="0" collapsed="false">
      <c r="A27" s="5" t="s">
        <v>67</v>
      </c>
      <c r="B27" s="6" t="s">
        <v>68</v>
      </c>
      <c r="C27" s="7" t="s">
        <v>103</v>
      </c>
      <c r="D27" s="6" t="s">
        <v>69</v>
      </c>
    </row>
    <row r="28" customFormat="false" ht="15" hidden="false" customHeight="false" outlineLevel="0" collapsed="false">
      <c r="A28" s="5"/>
      <c r="B28" s="6" t="s">
        <v>70</v>
      </c>
      <c r="C28" s="7" t="s">
        <v>104</v>
      </c>
      <c r="D28" s="6" t="s">
        <v>71</v>
      </c>
    </row>
    <row r="29" customFormat="false" ht="15" hidden="false" customHeight="false" outlineLevel="0" collapsed="false">
      <c r="A29" s="5" t="s">
        <v>72</v>
      </c>
      <c r="B29" s="6" t="s">
        <v>73</v>
      </c>
      <c r="C29" s="7" t="s">
        <v>105</v>
      </c>
      <c r="D29" s="6" t="s">
        <v>74</v>
      </c>
    </row>
    <row r="30" customFormat="false" ht="15" hidden="false" customHeight="false" outlineLevel="0" collapsed="false">
      <c r="A30" s="5"/>
      <c r="B30" s="6" t="s">
        <v>75</v>
      </c>
      <c r="C30" s="7" t="s">
        <v>106</v>
      </c>
      <c r="D30" s="6" t="s">
        <v>76</v>
      </c>
    </row>
    <row r="31" customFormat="false" ht="15" hidden="false" customHeight="false" outlineLevel="0" collapsed="false">
      <c r="A31" s="5" t="s">
        <v>77</v>
      </c>
      <c r="B31" s="6" t="s">
        <v>78</v>
      </c>
      <c r="C31" s="7" t="s">
        <v>107</v>
      </c>
      <c r="D31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55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3" t="s">
        <v>108</v>
      </c>
      <c r="F1" s="8" t="n">
        <v>2.3</v>
      </c>
      <c r="G1" s="2" t="s">
        <v>109</v>
      </c>
    </row>
    <row r="3" customFormat="false" ht="26.85" hidden="false" customHeight="false" outlineLevel="0" collapsed="false">
      <c r="A3" s="9" t="s">
        <v>110</v>
      </c>
      <c r="B3" s="9" t="s">
        <v>111</v>
      </c>
      <c r="C3" s="9" t="s">
        <v>112</v>
      </c>
      <c r="D3" s="9" t="s">
        <v>113</v>
      </c>
      <c r="E3" s="9" t="s">
        <v>114</v>
      </c>
      <c r="F3" s="9" t="s">
        <v>115</v>
      </c>
      <c r="G3" s="9" t="s">
        <v>116</v>
      </c>
      <c r="H3" s="9" t="s">
        <v>117</v>
      </c>
      <c r="I3" s="9" t="s">
        <v>118</v>
      </c>
    </row>
    <row r="4" customFormat="false" ht="23.85" hidden="false" customHeight="false" outlineLevel="0" collapsed="false">
      <c r="A4" s="6" t="s">
        <v>119</v>
      </c>
      <c r="B4" s="6" t="n">
        <v>0</v>
      </c>
      <c r="C4" s="7" t="n">
        <v>4</v>
      </c>
      <c r="D4" s="6" t="n">
        <f aca="false">B4+C4</f>
        <v>4</v>
      </c>
      <c r="E4" s="7" t="s">
        <v>120</v>
      </c>
      <c r="F4" s="7" t="s">
        <v>121</v>
      </c>
      <c r="G4" s="6" t="n">
        <f aca="false">LEN(TRIM(F4))-LEN(SUBSTITUTE(TRIM(F4)," ",""))+1</f>
        <v>6</v>
      </c>
      <c r="H4" s="10" t="n">
        <f aca="false">IF(C4=0,0,G4/C4)</f>
        <v>1.5</v>
      </c>
      <c r="I4" s="6" t="str">
        <f aca="false">IF(H4&lt;=$F$1,"OK","Too fast")</f>
        <v>OK</v>
      </c>
    </row>
    <row r="5" customFormat="false" ht="23.85" hidden="false" customHeight="false" outlineLevel="0" collapsed="false">
      <c r="A5" s="6" t="s">
        <v>122</v>
      </c>
      <c r="B5" s="6" t="n">
        <f aca="false">D4</f>
        <v>4</v>
      </c>
      <c r="C5" s="7" t="n">
        <v>7</v>
      </c>
      <c r="D5" s="6" t="n">
        <f aca="false">B5+C5</f>
        <v>11</v>
      </c>
      <c r="E5" s="7" t="s">
        <v>123</v>
      </c>
      <c r="F5" s="7" t="s">
        <v>124</v>
      </c>
      <c r="G5" s="6" t="n">
        <f aca="false">LEN(TRIM(F5))-LEN(SUBSTITUTE(TRIM(F5)," ",""))+1</f>
        <v>16</v>
      </c>
      <c r="H5" s="10" t="n">
        <f aca="false">IF(C5=0,0,G5/C5)</f>
        <v>2.28571428571429</v>
      </c>
      <c r="I5" s="6" t="str">
        <f aca="false">IF(H5&lt;=$F$1,"OK","Too fast")</f>
        <v>OK</v>
      </c>
    </row>
    <row r="6" customFormat="false" ht="23.85" hidden="false" customHeight="false" outlineLevel="0" collapsed="false">
      <c r="A6" s="6" t="s">
        <v>125</v>
      </c>
      <c r="B6" s="6" t="n">
        <f aca="false">D5</f>
        <v>11</v>
      </c>
      <c r="C6" s="7" t="n">
        <v>6</v>
      </c>
      <c r="D6" s="6" t="n">
        <f aca="false">B6+C6</f>
        <v>17</v>
      </c>
      <c r="E6" s="7" t="s">
        <v>126</v>
      </c>
      <c r="F6" s="7" t="s">
        <v>127</v>
      </c>
      <c r="G6" s="6" t="n">
        <f aca="false">LEN(TRIM(F6))-LEN(SUBSTITUTE(TRIM(F6)," ",""))+1</f>
        <v>13</v>
      </c>
      <c r="H6" s="10" t="n">
        <f aca="false">IF(C6=0,0,G6/C6)</f>
        <v>2.16666666666667</v>
      </c>
      <c r="I6" s="6" t="str">
        <f aca="false">IF(H6&lt;=$F$1,"OK","Too fast")</f>
        <v>OK</v>
      </c>
    </row>
    <row r="7" customFormat="false" ht="23.85" hidden="false" customHeight="false" outlineLevel="0" collapsed="false">
      <c r="A7" s="6" t="s">
        <v>128</v>
      </c>
      <c r="B7" s="6" t="n">
        <f aca="false">D6</f>
        <v>17</v>
      </c>
      <c r="C7" s="7" t="n">
        <v>7</v>
      </c>
      <c r="D7" s="6" t="n">
        <f aca="false">B7+C7</f>
        <v>24</v>
      </c>
      <c r="E7" s="7" t="s">
        <v>129</v>
      </c>
      <c r="F7" s="7" t="s">
        <v>130</v>
      </c>
      <c r="G7" s="6" t="n">
        <f aca="false">LEN(TRIM(F7))-LEN(SUBSTITUTE(TRIM(F7)," ",""))+1</f>
        <v>15</v>
      </c>
      <c r="H7" s="10" t="n">
        <f aca="false">IF(C7=0,0,G7/C7)</f>
        <v>2.14285714285714</v>
      </c>
      <c r="I7" s="6" t="str">
        <f aca="false">IF(H7&lt;=$F$1,"OK","Too fast")</f>
        <v>OK</v>
      </c>
    </row>
    <row r="8" customFormat="false" ht="23.85" hidden="false" customHeight="false" outlineLevel="0" collapsed="false">
      <c r="A8" s="6" t="s">
        <v>131</v>
      </c>
      <c r="B8" s="6" t="n">
        <f aca="false">D7</f>
        <v>24</v>
      </c>
      <c r="C8" s="7" t="n">
        <v>6</v>
      </c>
      <c r="D8" s="6" t="n">
        <f aca="false">B8+C8</f>
        <v>30</v>
      </c>
      <c r="E8" s="7" t="s">
        <v>132</v>
      </c>
      <c r="F8" s="7" t="s">
        <v>133</v>
      </c>
      <c r="G8" s="6" t="n">
        <f aca="false">LEN(TRIM(F8))-LEN(SUBSTITUTE(TRIM(F8)," ",""))+1</f>
        <v>12</v>
      </c>
      <c r="H8" s="10" t="n">
        <f aca="false">IF(C8=0,0,G8/C8)</f>
        <v>2</v>
      </c>
      <c r="I8" s="6" t="str">
        <f aca="false">IF(H8&lt;=$F$1,"OK","Too fast")</f>
        <v>OK</v>
      </c>
    </row>
    <row r="9" customFormat="false" ht="15" hidden="false" customHeight="false" outlineLevel="0" collapsed="false">
      <c r="A9" s="11" t="s">
        <v>134</v>
      </c>
      <c r="B9" s="11"/>
      <c r="C9" s="11" t="n">
        <f aca="false">SUM(C4:C8)</f>
        <v>30</v>
      </c>
      <c r="D9" s="11"/>
      <c r="E9" s="11"/>
      <c r="F9" s="11"/>
      <c r="G9" s="11" t="n">
        <f aca="false">SUM(G4:G8)</f>
        <v>62</v>
      </c>
      <c r="H9" s="11"/>
      <c r="I9" s="11" t="str">
        <f aca="false">IF(C9=30,"30 s target met","Duration is "&amp;C9&amp;" s")</f>
        <v>30 s target met</v>
      </c>
    </row>
    <row r="11" customFormat="false" ht="15" hidden="false" customHeight="false" outlineLevel="0" collapsed="false">
      <c r="A11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2026-10-13T10:44:21Z</dcterms:created>
  <dc:creator>openpyxl</dc:creator>
  <dc:description/>
  <dc:language>en-US</dc:language>
  <cp:lastModifiedBy/>
  <dcterms:modified xsi:type="dcterms:W3CDTF">2026-10-13T10:44:21Z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